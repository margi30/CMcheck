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 Trainning\Unconverted Files\"/>
    </mc:Choice>
  </mc:AlternateContent>
  <bookViews>
    <workbookView xWindow="15" yWindow="0" windowWidth="15240" windowHeight="8670" tabRatio="926"/>
  </bookViews>
  <sheets>
    <sheet name="Data Inputs and Trends" sheetId="35" r:id="rId1"/>
    <sheet name="Cell Level" sheetId="36" r:id="rId2"/>
  </sheets>
  <definedNames>
    <definedName name="Range1">'Data Inputs and Trends'!$G$10:$G$21</definedName>
    <definedName name="Range2">'Data Inputs and Trends'!$B$27:$G$38</definedName>
  </definedNames>
  <calcPr calcId="152511" calcOnSave="0"/>
  <customWorkbookViews>
    <customWorkbookView name="lir - Personal View" guid="{F75E00F2-D522-4EEB-BB05-C5D926A09C2B}" mergeInterval="0" personalView="1" maximized="1" windowWidth="1020" windowHeight="552" activeSheetId="5"/>
    <customWorkbookView name="Teresa Bergholz - Personal View" guid="{0024717D-C410-4ED7-B8ED-7D14D8DF0A53}" mergeInterval="0" personalView="1" maximized="1" windowWidth="1240" windowHeight="861" activeSheetId="12"/>
  </customWorkbookViews>
</workbook>
</file>

<file path=xl/calcChain.xml><?xml version="1.0" encoding="utf-8"?>
<calcChain xmlns="http://schemas.openxmlformats.org/spreadsheetml/2006/main">
  <c r="G38" i="36" l="1"/>
  <c r="E38" i="36"/>
  <c r="D38" i="36"/>
  <c r="C38" i="36"/>
  <c r="B38" i="36"/>
  <c r="A38" i="36"/>
  <c r="G37" i="36"/>
  <c r="F37" i="36"/>
  <c r="E37" i="36"/>
  <c r="D37" i="36"/>
  <c r="C37" i="36"/>
  <c r="B37" i="36"/>
  <c r="A37" i="36"/>
  <c r="G36" i="36"/>
  <c r="F36" i="36"/>
  <c r="E36" i="36"/>
  <c r="D36" i="36"/>
  <c r="C36" i="36"/>
  <c r="B36" i="36"/>
  <c r="A36" i="36"/>
  <c r="G35" i="36"/>
  <c r="F35" i="36"/>
  <c r="E35" i="36"/>
  <c r="D35" i="36"/>
  <c r="C35" i="36"/>
  <c r="B35" i="36"/>
  <c r="A35" i="36"/>
  <c r="G34" i="36"/>
  <c r="F34" i="36"/>
  <c r="E34" i="36"/>
  <c r="D34" i="36"/>
  <c r="C34" i="36"/>
  <c r="B34" i="36"/>
  <c r="A34" i="36"/>
  <c r="G33" i="36"/>
  <c r="F33" i="36"/>
  <c r="E33" i="36"/>
  <c r="D33" i="36"/>
  <c r="C33" i="36"/>
  <c r="B33" i="36"/>
  <c r="A33" i="36"/>
  <c r="G32" i="36"/>
  <c r="E32" i="36"/>
  <c r="D32" i="36"/>
  <c r="C32" i="36"/>
  <c r="B32" i="36"/>
  <c r="A32" i="36"/>
  <c r="G31" i="36"/>
  <c r="F31" i="36"/>
  <c r="E31" i="36"/>
  <c r="D31" i="36"/>
  <c r="C31" i="36"/>
  <c r="B31" i="36"/>
  <c r="A31" i="36"/>
  <c r="G30" i="36"/>
  <c r="F30" i="36"/>
  <c r="E30" i="36"/>
  <c r="D30" i="36"/>
  <c r="C30" i="36"/>
  <c r="C42" i="36" s="1"/>
  <c r="B30" i="36"/>
  <c r="A30" i="36"/>
  <c r="G29" i="36"/>
  <c r="F29" i="36"/>
  <c r="E29" i="36"/>
  <c r="D29" i="36"/>
  <c r="C29" i="36"/>
  <c r="B29" i="36"/>
  <c r="A29" i="36"/>
  <c r="G28" i="36"/>
  <c r="F28" i="36"/>
  <c r="E28" i="36"/>
  <c r="D28" i="36"/>
  <c r="C28" i="36"/>
  <c r="B28" i="36"/>
  <c r="A28" i="36"/>
  <c r="G27" i="36"/>
  <c r="F27" i="36"/>
  <c r="E27" i="36"/>
  <c r="E41" i="36" s="1"/>
  <c r="E40" i="36"/>
  <c r="B27" i="36"/>
  <c r="A27" i="36"/>
  <c r="F26" i="36"/>
  <c r="D26" i="36"/>
  <c r="C26" i="36"/>
  <c r="B26" i="36"/>
  <c r="F21" i="36"/>
  <c r="F38" i="36" s="1"/>
  <c r="F15" i="36"/>
  <c r="F32" i="36" s="1"/>
  <c r="D10" i="36"/>
  <c r="D27" i="36"/>
  <c r="D10" i="35"/>
  <c r="D27" i="35" s="1"/>
  <c r="F27" i="35"/>
  <c r="F21" i="35"/>
  <c r="F38" i="35" s="1"/>
  <c r="F15" i="35"/>
  <c r="F32" i="35" s="1"/>
  <c r="G27" i="35"/>
  <c r="E27" i="35"/>
  <c r="B27" i="35"/>
  <c r="G38" i="35"/>
  <c r="E38" i="35"/>
  <c r="D38" i="35"/>
  <c r="C38" i="35"/>
  <c r="B38" i="35"/>
  <c r="A38" i="35"/>
  <c r="G37" i="35"/>
  <c r="F37" i="35"/>
  <c r="E37" i="35"/>
  <c r="D37" i="35"/>
  <c r="C37" i="35"/>
  <c r="B37" i="35"/>
  <c r="A37" i="35"/>
  <c r="G36" i="35"/>
  <c r="F36" i="35"/>
  <c r="E36" i="35"/>
  <c r="D36" i="35"/>
  <c r="C36" i="35"/>
  <c r="B36" i="35"/>
  <c r="A36" i="35"/>
  <c r="G35" i="35"/>
  <c r="F35" i="35"/>
  <c r="E35" i="35"/>
  <c r="D35" i="35"/>
  <c r="C35" i="35"/>
  <c r="B35" i="35"/>
  <c r="A35" i="35"/>
  <c r="G34" i="35"/>
  <c r="F34" i="35"/>
  <c r="E34" i="35"/>
  <c r="D34" i="35"/>
  <c r="C34" i="35"/>
  <c r="B34" i="35"/>
  <c r="A34" i="35"/>
  <c r="G33" i="35"/>
  <c r="F33" i="35"/>
  <c r="E33" i="35"/>
  <c r="D33" i="35"/>
  <c r="C33" i="35"/>
  <c r="B33" i="35"/>
  <c r="A33" i="35"/>
  <c r="G32" i="35"/>
  <c r="E32" i="35"/>
  <c r="D32" i="35"/>
  <c r="C32" i="35"/>
  <c r="B32" i="35"/>
  <c r="A32" i="35"/>
  <c r="G31" i="35"/>
  <c r="F31" i="35"/>
  <c r="E31" i="35"/>
  <c r="D31" i="35"/>
  <c r="C31" i="35"/>
  <c r="B31" i="35"/>
  <c r="A31" i="35"/>
  <c r="G30" i="35"/>
  <c r="F30" i="35"/>
  <c r="E30" i="35"/>
  <c r="D30" i="35"/>
  <c r="C30" i="35"/>
  <c r="B30" i="35"/>
  <c r="A30" i="35"/>
  <c r="G29" i="35"/>
  <c r="F29" i="35"/>
  <c r="E29" i="35"/>
  <c r="D29" i="35"/>
  <c r="C29" i="35"/>
  <c r="B29" i="35"/>
  <c r="A29" i="35"/>
  <c r="G28" i="35"/>
  <c r="F28" i="35"/>
  <c r="E28" i="35"/>
  <c r="D28" i="35"/>
  <c r="C28" i="35"/>
  <c r="B28" i="35"/>
  <c r="A28" i="35"/>
  <c r="A27" i="35"/>
  <c r="F26" i="35"/>
  <c r="D26" i="35"/>
  <c r="C26" i="35"/>
  <c r="B26" i="35"/>
  <c r="C40" i="36"/>
  <c r="C40" i="35" l="1"/>
  <c r="D40" i="35"/>
  <c r="D42" i="36"/>
  <c r="E42" i="36"/>
  <c r="D41" i="36"/>
  <c r="B40" i="35"/>
  <c r="E40" i="35"/>
  <c r="B41" i="36"/>
  <c r="G41" i="36"/>
  <c r="C41" i="36"/>
  <c r="F40" i="35"/>
  <c r="F40" i="36"/>
  <c r="F42" i="36"/>
  <c r="F41" i="36"/>
  <c r="G42" i="36"/>
  <c r="D40" i="36"/>
  <c r="B42" i="36"/>
  <c r="B40" i="36"/>
  <c r="G40" i="36"/>
  <c r="G40" i="35"/>
</calcChain>
</file>

<file path=xl/sharedStrings.xml><?xml version="1.0" encoding="utf-8"?>
<sst xmlns="http://schemas.openxmlformats.org/spreadsheetml/2006/main" count="66" uniqueCount="28">
  <si>
    <t>QC Lab Sample Assay Spreadsheet</t>
  </si>
  <si>
    <t>PRODUCT:</t>
  </si>
  <si>
    <t xml:space="preserve">      Label Strength</t>
  </si>
  <si>
    <t>BATCH:</t>
  </si>
  <si>
    <t xml:space="preserve">   Total Volume (ml)</t>
  </si>
  <si>
    <t>Dissolution Data:</t>
  </si>
  <si>
    <t>Tablet</t>
  </si>
  <si>
    <t>Observations</t>
  </si>
  <si>
    <t xml:space="preserve">      Time Points in Fluid 2</t>
  </si>
  <si>
    <t>#</t>
  </si>
  <si>
    <t>Tab 1</t>
  </si>
  <si>
    <t>Tab 2</t>
  </si>
  <si>
    <t>Tab 3</t>
  </si>
  <si>
    <t>Tab 4</t>
  </si>
  <si>
    <t>Tab 5</t>
  </si>
  <si>
    <t>Tab 6</t>
  </si>
  <si>
    <t>Tab 7</t>
  </si>
  <si>
    <t>Tab 8</t>
  </si>
  <si>
    <t>Tab 9</t>
  </si>
  <si>
    <t>Tab 10</t>
  </si>
  <si>
    <t>Tab 11</t>
  </si>
  <si>
    <t>Tab 12</t>
  </si>
  <si>
    <t>Percent Dissolved in Each Tablet</t>
  </si>
  <si>
    <t>Results</t>
  </si>
  <si>
    <t>MIN:</t>
  </si>
  <si>
    <t>MAX:</t>
  </si>
  <si>
    <t>AVG:</t>
  </si>
  <si>
    <t>e-signature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</si>
</sst>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;;;"/>
  </numFmts>
  <fonts count="20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1"/>
      <name val="Times New Roman"/>
      <family val="1"/>
    </font>
    <font>
      <sz val="11"/>
      <name val="Univers (WN)"/>
    </font>
    <font>
      <sz val="10"/>
      <name val="Univers (WN)"/>
    </font>
    <font>
      <b/>
      <sz val="11"/>
      <color indexed="8"/>
      <name val="Univers (WN)"/>
      <family val="2"/>
    </font>
    <font>
      <sz val="11"/>
      <color indexed="8"/>
      <name val="Univers (WN)"/>
      <family val="2"/>
    </font>
    <font>
      <sz val="11"/>
      <color indexed="8"/>
      <name val="Times New Roman"/>
      <family val="1"/>
    </font>
    <font>
      <sz val="11"/>
      <color indexed="8"/>
      <name val="Univers (WN)"/>
    </font>
    <font>
      <b/>
      <sz val="11"/>
      <color indexed="8"/>
      <name val="Univers (WN)"/>
    </font>
    <font>
      <b/>
      <sz val="14"/>
      <color indexed="8"/>
      <name val="Arial"/>
      <family val="2"/>
    </font>
    <font>
      <b/>
      <sz val="11"/>
      <name val="Univers (WN)"/>
      <family val="2"/>
    </font>
    <font>
      <b/>
      <sz val="11"/>
      <name val="Arial"/>
      <family val="2"/>
    </font>
    <font>
      <b/>
      <sz val="11"/>
      <name val="Univers (WN)"/>
    </font>
    <font>
      <b/>
      <sz val="12"/>
      <name val="Univers (WN)"/>
      <family val="2"/>
    </font>
    <font>
      <sz val="11"/>
      <name val="Arial"/>
      <family val="2"/>
    </font>
    <font>
      <sz val="10.5"/>
      <name val="Univers (WN)"/>
      <family val="2"/>
    </font>
    <font>
      <b/>
      <sz val="18"/>
      <color theme="5" tint="0.39997558519241921"/>
      <name val="Arial"/>
      <family val="2"/>
    </font>
    <font>
      <sz val="10"/>
      <name val="Wingdings"/>
      <charset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81">
    <xf numFmtId="0" fontId="0" fillId="0" borderId="0" xfId="0"/>
    <xf numFmtId="0" fontId="4" fillId="0" borderId="0" xfId="1" applyFont="1" applyAlignment="1" applyProtection="1">
      <alignment horizontal="center"/>
      <protection hidden="1"/>
    </xf>
    <xf numFmtId="0" fontId="3" fillId="0" borderId="0" xfId="1" applyProtection="1">
      <protection hidden="1"/>
    </xf>
    <xf numFmtId="0" fontId="4" fillId="0" borderId="0" xfId="1" applyFont="1" applyProtection="1">
      <protection hidden="1"/>
    </xf>
    <xf numFmtId="0" fontId="5" fillId="0" borderId="0" xfId="1" applyFont="1" applyProtection="1">
      <protection hidden="1"/>
    </xf>
    <xf numFmtId="14" fontId="4" fillId="0" borderId="0" xfId="1" applyNumberFormat="1" applyFont="1" applyAlignment="1" applyProtection="1">
      <alignment horizontal="right"/>
      <protection hidden="1"/>
    </xf>
    <xf numFmtId="0" fontId="6" fillId="0" borderId="0" xfId="1" applyFont="1" applyProtection="1">
      <protection hidden="1"/>
    </xf>
    <xf numFmtId="0" fontId="7" fillId="0" borderId="1" xfId="1" applyFont="1" applyBorder="1" applyProtection="1">
      <protection locked="0" hidden="1"/>
    </xf>
    <xf numFmtId="0" fontId="8" fillId="0" borderId="2" xfId="1" applyFont="1" applyBorder="1" applyProtection="1">
      <protection hidden="1"/>
    </xf>
    <xf numFmtId="0" fontId="8" fillId="0" borderId="0" xfId="1" applyFont="1" applyProtection="1">
      <protection hidden="1"/>
    </xf>
    <xf numFmtId="0" fontId="9" fillId="0" borderId="0" xfId="1" applyFont="1" applyProtection="1">
      <protection hidden="1"/>
    </xf>
    <xf numFmtId="0" fontId="9" fillId="0" borderId="3" xfId="1" applyFont="1" applyBorder="1" applyAlignment="1" applyProtection="1">
      <alignment horizontal="center"/>
      <protection locked="0" hidden="1"/>
    </xf>
    <xf numFmtId="0" fontId="10" fillId="0" borderId="1" xfId="1" applyFont="1" applyBorder="1" applyProtection="1">
      <protection locked="0" hidden="1"/>
    </xf>
    <xf numFmtId="0" fontId="11" fillId="0" borderId="0" xfId="1" applyFont="1" applyProtection="1">
      <protection hidden="1"/>
    </xf>
    <xf numFmtId="164" fontId="9" fillId="0" borderId="0" xfId="1" applyNumberFormat="1" applyFont="1" applyProtection="1">
      <protection hidden="1"/>
    </xf>
    <xf numFmtId="164" fontId="4" fillId="0" borderId="0" xfId="1" applyNumberFormat="1" applyFont="1" applyProtection="1">
      <protection hidden="1"/>
    </xf>
    <xf numFmtId="164" fontId="12" fillId="0" borderId="0" xfId="1" applyNumberFormat="1" applyFont="1" applyBorder="1" applyAlignment="1" applyProtection="1">
      <alignment horizontal="center"/>
      <protection hidden="1"/>
    </xf>
    <xf numFmtId="164" fontId="5" fillId="0" borderId="0" xfId="1" applyNumberFormat="1" applyFont="1" applyBorder="1" applyProtection="1">
      <protection hidden="1"/>
    </xf>
    <xf numFmtId="164" fontId="14" fillId="0" borderId="0" xfId="1" applyNumberFormat="1" applyFont="1" applyBorder="1" applyProtection="1">
      <protection hidden="1"/>
    </xf>
    <xf numFmtId="164" fontId="4" fillId="0" borderId="0" xfId="1" applyNumberFormat="1" applyFont="1" applyBorder="1" applyProtection="1">
      <protection hidden="1"/>
    </xf>
    <xf numFmtId="164" fontId="15" fillId="0" borderId="0" xfId="1" applyNumberFormat="1" applyFont="1" applyBorder="1" applyAlignment="1" applyProtection="1">
      <alignment horizontal="center"/>
      <protection hidden="1"/>
    </xf>
    <xf numFmtId="0" fontId="1" fillId="2" borderId="4" xfId="1" applyFont="1" applyFill="1" applyBorder="1" applyAlignment="1" applyProtection="1">
      <alignment horizontal="center"/>
      <protection locked="0" hidden="1"/>
    </xf>
    <xf numFmtId="164" fontId="14" fillId="0" borderId="0" xfId="1" applyNumberFormat="1" applyFont="1" applyBorder="1" applyAlignment="1" applyProtection="1">
      <alignment horizontal="center"/>
      <protection hidden="1"/>
    </xf>
    <xf numFmtId="164" fontId="3" fillId="0" borderId="0" xfId="1" applyNumberFormat="1" applyBorder="1" applyAlignment="1" applyProtection="1">
      <alignment horizontal="center"/>
      <protection hidden="1"/>
    </xf>
    <xf numFmtId="0" fontId="1" fillId="2" borderId="5" xfId="1" applyFont="1" applyFill="1" applyBorder="1" applyAlignment="1" applyProtection="1">
      <alignment horizontal="center"/>
      <protection locked="0" hidden="1"/>
    </xf>
    <xf numFmtId="0" fontId="1" fillId="2" borderId="6" xfId="1" applyFont="1" applyFill="1" applyBorder="1" applyAlignment="1" applyProtection="1">
      <alignment horizontal="center"/>
      <protection locked="0" hidden="1"/>
    </xf>
    <xf numFmtId="0" fontId="2" fillId="0" borderId="0" xfId="1" applyFont="1" applyAlignment="1" applyProtection="1">
      <alignment horizontal="centerContinuous"/>
      <protection hidden="1"/>
    </xf>
    <xf numFmtId="0" fontId="16" fillId="0" borderId="0" xfId="1" applyFont="1" applyAlignment="1" applyProtection="1">
      <alignment horizontal="centerContinuous"/>
      <protection hidden="1"/>
    </xf>
    <xf numFmtId="0" fontId="1" fillId="0" borderId="0" xfId="1" applyFont="1" applyAlignment="1" applyProtection="1">
      <alignment horizontal="centerContinuous"/>
      <protection hidden="1"/>
    </xf>
    <xf numFmtId="0" fontId="1" fillId="0" borderId="0" xfId="1" applyFont="1" applyProtection="1">
      <protection hidden="1"/>
    </xf>
    <xf numFmtId="0" fontId="16" fillId="0" borderId="0" xfId="1" applyFont="1" applyProtection="1">
      <protection hidden="1"/>
    </xf>
    <xf numFmtId="0" fontId="12" fillId="3" borderId="7" xfId="1" applyFont="1" applyFill="1" applyBorder="1" applyAlignment="1" applyProtection="1">
      <alignment horizontal="center"/>
      <protection hidden="1"/>
    </xf>
    <xf numFmtId="0" fontId="12" fillId="3" borderId="8" xfId="1" applyFont="1" applyFill="1" applyBorder="1" applyAlignment="1" applyProtection="1">
      <alignment horizontal="center"/>
      <protection hidden="1"/>
    </xf>
    <xf numFmtId="0" fontId="14" fillId="3" borderId="9" xfId="1" applyFont="1" applyFill="1" applyBorder="1" applyAlignment="1" applyProtection="1">
      <alignment horizontal="center"/>
      <protection locked="0" hidden="1"/>
    </xf>
    <xf numFmtId="0" fontId="15" fillId="3" borderId="10" xfId="1" applyFont="1" applyFill="1" applyBorder="1" applyAlignment="1" applyProtection="1">
      <alignment horizontal="center"/>
      <protection locked="0" hidden="1"/>
    </xf>
    <xf numFmtId="0" fontId="15" fillId="3" borderId="11" xfId="1" applyFont="1" applyFill="1" applyBorder="1" applyAlignment="1" applyProtection="1">
      <alignment horizontal="center"/>
      <protection locked="0" hidden="1"/>
    </xf>
    <xf numFmtId="0" fontId="12" fillId="3" borderId="12" xfId="1" applyFont="1" applyFill="1" applyBorder="1" applyAlignment="1" applyProtection="1">
      <alignment horizontal="center"/>
      <protection hidden="1"/>
    </xf>
    <xf numFmtId="0" fontId="15" fillId="3" borderId="13" xfId="1" applyFont="1" applyFill="1" applyBorder="1" applyAlignment="1" applyProtection="1">
      <alignment horizontal="center"/>
      <protection locked="0" hidden="1"/>
    </xf>
    <xf numFmtId="0" fontId="3" fillId="3" borderId="14" xfId="1" applyFill="1" applyBorder="1" applyProtection="1">
      <protection locked="0"/>
    </xf>
    <xf numFmtId="0" fontId="15" fillId="3" borderId="15" xfId="1" applyFont="1" applyFill="1" applyBorder="1" applyAlignment="1" applyProtection="1">
      <alignment horizontal="center"/>
      <protection locked="0"/>
    </xf>
    <xf numFmtId="0" fontId="15" fillId="3" borderId="16" xfId="1" applyFont="1" applyFill="1" applyBorder="1" applyAlignment="1" applyProtection="1">
      <alignment horizontal="center"/>
      <protection locked="0"/>
    </xf>
    <xf numFmtId="0" fontId="15" fillId="3" borderId="17" xfId="1" applyFont="1" applyFill="1" applyBorder="1" applyAlignment="1" applyProtection="1">
      <alignment horizontal="center"/>
      <protection locked="0"/>
    </xf>
    <xf numFmtId="0" fontId="15" fillId="3" borderId="18" xfId="1" applyFont="1" applyFill="1" applyBorder="1" applyAlignment="1" applyProtection="1">
      <alignment horizontal="center"/>
      <protection locked="0"/>
    </xf>
    <xf numFmtId="0" fontId="15" fillId="3" borderId="19" xfId="1" applyFont="1" applyFill="1" applyBorder="1" applyAlignment="1" applyProtection="1">
      <alignment horizontal="center"/>
      <protection locked="0"/>
    </xf>
    <xf numFmtId="2" fontId="17" fillId="3" borderId="20" xfId="1" applyNumberFormat="1" applyFont="1" applyFill="1" applyBorder="1" applyAlignment="1" applyProtection="1">
      <alignment horizontal="center"/>
      <protection locked="0"/>
    </xf>
    <xf numFmtId="2" fontId="17" fillId="3" borderId="21" xfId="1" applyNumberFormat="1" applyFont="1" applyFill="1" applyBorder="1" applyAlignment="1" applyProtection="1">
      <alignment horizontal="center"/>
      <protection locked="0"/>
    </xf>
    <xf numFmtId="2" fontId="17" fillId="3" borderId="22" xfId="1" applyNumberFormat="1" applyFont="1" applyFill="1" applyBorder="1" applyAlignment="1" applyProtection="1">
      <alignment horizontal="center"/>
      <protection locked="0"/>
    </xf>
    <xf numFmtId="0" fontId="15" fillId="3" borderId="23" xfId="1" applyFont="1" applyFill="1" applyBorder="1" applyAlignment="1" applyProtection="1">
      <alignment horizontal="center"/>
      <protection locked="0"/>
    </xf>
    <xf numFmtId="2" fontId="17" fillId="3" borderId="10" xfId="1" applyNumberFormat="1" applyFont="1" applyFill="1" applyBorder="1" applyAlignment="1" applyProtection="1">
      <alignment horizontal="center"/>
      <protection locked="0"/>
    </xf>
    <xf numFmtId="2" fontId="17" fillId="3" borderId="12" xfId="1" applyNumberFormat="1" applyFont="1" applyFill="1" applyBorder="1" applyAlignment="1" applyProtection="1">
      <alignment horizontal="center"/>
      <protection locked="0"/>
    </xf>
    <xf numFmtId="2" fontId="17" fillId="3" borderId="13" xfId="1" applyNumberFormat="1" applyFont="1" applyFill="1" applyBorder="1" applyAlignment="1" applyProtection="1">
      <alignment horizontal="center"/>
      <protection locked="0"/>
    </xf>
    <xf numFmtId="0" fontId="15" fillId="4" borderId="24" xfId="1" applyFont="1" applyFill="1" applyBorder="1" applyAlignment="1" applyProtection="1">
      <alignment horizontal="center"/>
      <protection locked="0"/>
    </xf>
    <xf numFmtId="2" fontId="17" fillId="4" borderId="25" xfId="1" applyNumberFormat="1" applyFont="1" applyFill="1" applyBorder="1" applyAlignment="1" applyProtection="1">
      <alignment horizontal="center"/>
      <protection locked="0"/>
    </xf>
    <xf numFmtId="2" fontId="17" fillId="4" borderId="26" xfId="1" applyNumberFormat="1" applyFont="1" applyFill="1" applyBorder="1" applyAlignment="1" applyProtection="1">
      <alignment horizontal="center"/>
      <protection locked="0"/>
    </xf>
    <xf numFmtId="2" fontId="17" fillId="4" borderId="21" xfId="1" applyNumberFormat="1" applyFont="1" applyFill="1" applyBorder="1" applyAlignment="1" applyProtection="1">
      <alignment horizontal="center"/>
      <protection locked="0"/>
    </xf>
    <xf numFmtId="0" fontId="15" fillId="4" borderId="27" xfId="1" applyFont="1" applyFill="1" applyBorder="1" applyAlignment="1" applyProtection="1">
      <alignment horizontal="center"/>
      <protection locked="0"/>
    </xf>
    <xf numFmtId="2" fontId="17" fillId="4" borderId="2" xfId="1" applyNumberFormat="1" applyFont="1" applyFill="1" applyBorder="1" applyAlignment="1" applyProtection="1">
      <alignment horizontal="center"/>
      <protection locked="0"/>
    </xf>
    <xf numFmtId="2" fontId="17" fillId="4" borderId="3" xfId="1" applyNumberFormat="1" applyFont="1" applyFill="1" applyBorder="1" applyAlignment="1" applyProtection="1">
      <alignment horizontal="center"/>
      <protection locked="0"/>
    </xf>
    <xf numFmtId="2" fontId="17" fillId="4" borderId="28" xfId="1" applyNumberFormat="1" applyFont="1" applyFill="1" applyBorder="1" applyAlignment="1" applyProtection="1">
      <alignment horizontal="center"/>
      <protection locked="0"/>
    </xf>
    <xf numFmtId="0" fontId="15" fillId="4" borderId="23" xfId="1" applyFont="1" applyFill="1" applyBorder="1" applyAlignment="1" applyProtection="1">
      <alignment horizontal="center"/>
      <protection locked="0"/>
    </xf>
    <xf numFmtId="2" fontId="5" fillId="4" borderId="12" xfId="1" applyNumberFormat="1" applyFont="1" applyFill="1" applyBorder="1" applyAlignment="1" applyProtection="1">
      <alignment horizontal="center"/>
      <protection locked="0"/>
    </xf>
    <xf numFmtId="2" fontId="5" fillId="4" borderId="11" xfId="1" applyNumberFormat="1" applyFont="1" applyFill="1" applyBorder="1" applyAlignment="1" applyProtection="1">
      <alignment horizontal="center"/>
      <protection locked="0"/>
    </xf>
    <xf numFmtId="2" fontId="5" fillId="4" borderId="13" xfId="1" applyNumberFormat="1" applyFont="1" applyFill="1" applyBorder="1" applyAlignment="1" applyProtection="1">
      <alignment horizontal="center"/>
      <protection locked="0"/>
    </xf>
    <xf numFmtId="0" fontId="1" fillId="2" borderId="4" xfId="1" applyFont="1" applyFill="1" applyBorder="1" applyAlignment="1" applyProtection="1">
      <alignment horizontal="center"/>
      <protection hidden="1"/>
    </xf>
    <xf numFmtId="0" fontId="1" fillId="2" borderId="5" xfId="1" applyFont="1" applyFill="1" applyBorder="1" applyAlignment="1" applyProtection="1">
      <alignment horizontal="center"/>
      <protection hidden="1"/>
    </xf>
    <xf numFmtId="0" fontId="1" fillId="2" borderId="6" xfId="1" applyFont="1" applyFill="1" applyBorder="1" applyAlignment="1" applyProtection="1">
      <alignment horizontal="center"/>
      <protection hidden="1"/>
    </xf>
    <xf numFmtId="0" fontId="3" fillId="3" borderId="15" xfId="1" applyFill="1" applyBorder="1" applyProtection="1">
      <protection locked="0"/>
    </xf>
    <xf numFmtId="0" fontId="14" fillId="3" borderId="29" xfId="1" applyFont="1" applyFill="1" applyBorder="1" applyAlignment="1" applyProtection="1">
      <alignment horizontal="center"/>
      <protection locked="0"/>
    </xf>
    <xf numFmtId="0" fontId="14" fillId="3" borderId="30" xfId="1" applyFont="1" applyFill="1" applyBorder="1" applyAlignment="1" applyProtection="1">
      <alignment horizontal="center"/>
      <protection locked="0"/>
    </xf>
    <xf numFmtId="0" fontId="3" fillId="6" borderId="3" xfId="1" applyFill="1" applyBorder="1" applyAlignment="1" applyProtection="1">
      <alignment horizontal="center"/>
      <protection hidden="1"/>
    </xf>
    <xf numFmtId="0" fontId="3" fillId="7" borderId="3" xfId="1" applyFill="1" applyBorder="1" applyProtection="1">
      <protection hidden="1"/>
    </xf>
    <xf numFmtId="0" fontId="3" fillId="8" borderId="3" xfId="1" applyFill="1" applyBorder="1" applyAlignment="1" applyProtection="1">
      <alignment horizontal="center"/>
      <protection hidden="1"/>
    </xf>
    <xf numFmtId="0" fontId="3" fillId="8" borderId="3" xfId="1" applyFill="1" applyBorder="1" applyProtection="1">
      <protection hidden="1"/>
    </xf>
    <xf numFmtId="0" fontId="19" fillId="2" borderId="5" xfId="1" applyFont="1" applyFill="1" applyBorder="1" applyAlignment="1" applyProtection="1">
      <alignment horizontal="center"/>
      <protection hidden="1"/>
    </xf>
    <xf numFmtId="0" fontId="18" fillId="5" borderId="0" xfId="1" applyFont="1" applyFill="1" applyAlignment="1">
      <alignment horizontal="center" vertical="center"/>
    </xf>
    <xf numFmtId="0" fontId="13" fillId="3" borderId="7" xfId="1" applyFont="1" applyFill="1" applyBorder="1" applyAlignment="1" applyProtection="1">
      <alignment horizontal="center"/>
      <protection hidden="1"/>
    </xf>
    <xf numFmtId="0" fontId="13" fillId="3" borderId="31" xfId="1" applyFont="1" applyFill="1" applyBorder="1" applyAlignment="1" applyProtection="1">
      <alignment horizontal="center"/>
      <protection hidden="1"/>
    </xf>
    <xf numFmtId="0" fontId="13" fillId="3" borderId="32" xfId="1" applyFont="1" applyFill="1" applyBorder="1" applyAlignment="1" applyProtection="1">
      <alignment horizontal="center"/>
      <protection hidden="1"/>
    </xf>
    <xf numFmtId="0" fontId="14" fillId="3" borderId="33" xfId="1" applyFont="1" applyFill="1" applyBorder="1" applyAlignment="1" applyProtection="1">
      <alignment horizontal="center"/>
      <protection locked="0"/>
    </xf>
    <xf numFmtId="0" fontId="14" fillId="3" borderId="34" xfId="1" applyFont="1" applyFill="1" applyBorder="1" applyAlignment="1" applyProtection="1">
      <alignment horizontal="center"/>
      <protection locked="0"/>
    </xf>
    <xf numFmtId="0" fontId="14" fillId="3" borderId="35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49"/>
  <sheetViews>
    <sheetView showGridLines="0" tabSelected="1" topLeftCell="A31" workbookViewId="0">
      <selection activeCell="A40" sqref="A40:G41"/>
    </sheetView>
  </sheetViews>
  <sheetFormatPr defaultColWidth="13.140625" defaultRowHeight="15"/>
  <cols>
    <col min="1" max="1" width="17.28515625" style="2" customWidth="1"/>
    <col min="2" max="2" width="16.7109375" style="2" customWidth="1"/>
    <col min="3" max="6" width="13.140625" style="2"/>
    <col min="7" max="7" width="13.140625" style="2" customWidth="1"/>
    <col min="8" max="16384" width="13.140625" style="2"/>
  </cols>
  <sheetData>
    <row r="1" spans="1:15" ht="41.25" customHeight="1">
      <c r="A1" s="74" t="s">
        <v>0</v>
      </c>
      <c r="B1" s="74"/>
      <c r="C1" s="74"/>
      <c r="D1" s="74"/>
      <c r="E1" s="74"/>
      <c r="F1" s="74"/>
      <c r="G1" s="74"/>
      <c r="H1" s="1"/>
    </row>
    <row r="2" spans="1:15" ht="15" customHeight="1">
      <c r="A2" s="3"/>
      <c r="B2" s="3"/>
      <c r="C2" s="3"/>
      <c r="D2" s="3"/>
      <c r="E2" s="3"/>
      <c r="F2" s="3"/>
      <c r="G2" s="4"/>
      <c r="H2" s="5"/>
      <c r="I2" s="3"/>
      <c r="J2" s="3"/>
    </row>
    <row r="3" spans="1:15" s="9" customFormat="1" ht="15.6" customHeight="1">
      <c r="A3" s="6" t="s">
        <v>1</v>
      </c>
      <c r="B3" s="7"/>
      <c r="C3" s="8"/>
      <c r="E3" s="10" t="s">
        <v>2</v>
      </c>
      <c r="F3" s="10"/>
      <c r="G3" s="11">
        <v>2.5</v>
      </c>
      <c r="H3" s="10"/>
      <c r="I3" s="10"/>
      <c r="J3" s="10"/>
    </row>
    <row r="4" spans="1:15" s="9" customFormat="1" ht="15.6" customHeight="1">
      <c r="A4" s="6" t="s">
        <v>3</v>
      </c>
      <c r="B4" s="12"/>
      <c r="C4" s="8"/>
      <c r="E4" s="10" t="s">
        <v>4</v>
      </c>
      <c r="F4" s="10"/>
      <c r="G4" s="11">
        <v>100</v>
      </c>
      <c r="H4" s="10"/>
      <c r="I4" s="10"/>
      <c r="J4" s="10"/>
    </row>
    <row r="5" spans="1:15" s="9" customFormat="1" ht="15.6" customHeight="1">
      <c r="A5" s="10"/>
      <c r="B5" s="10"/>
      <c r="C5" s="10"/>
      <c r="D5" s="10"/>
      <c r="E5" s="10"/>
      <c r="F5" s="10"/>
      <c r="G5" s="10"/>
      <c r="H5" s="10"/>
      <c r="I5" s="10"/>
    </row>
    <row r="6" spans="1:15" s="9" customFormat="1" ht="18">
      <c r="A6" s="13" t="s">
        <v>5</v>
      </c>
      <c r="B6" s="10"/>
      <c r="C6" s="10"/>
      <c r="D6" s="10"/>
      <c r="E6" s="10"/>
      <c r="F6" s="10"/>
      <c r="G6" s="10"/>
      <c r="H6" s="13"/>
      <c r="L6" s="14"/>
      <c r="M6" s="14"/>
      <c r="N6" s="14"/>
      <c r="O6" s="14"/>
    </row>
    <row r="7" spans="1:15" ht="15" customHeight="1" thickBot="1">
      <c r="A7" s="3"/>
      <c r="B7" s="3"/>
      <c r="C7" s="3"/>
      <c r="D7" s="3"/>
      <c r="E7" s="3"/>
      <c r="F7" s="3"/>
      <c r="G7" s="3"/>
      <c r="H7" s="3"/>
      <c r="I7" s="3"/>
      <c r="J7" s="15"/>
      <c r="K7" s="15"/>
      <c r="L7" s="15"/>
      <c r="M7" s="15"/>
      <c r="N7" s="15"/>
      <c r="O7" s="15"/>
    </row>
    <row r="8" spans="1:15" ht="15.6" customHeight="1">
      <c r="A8" s="31" t="s">
        <v>6</v>
      </c>
      <c r="B8" s="75" t="s">
        <v>7</v>
      </c>
      <c r="C8" s="76"/>
      <c r="D8" s="76"/>
      <c r="E8" s="76"/>
      <c r="F8" s="76"/>
      <c r="G8" s="77"/>
      <c r="J8" s="16" t="s">
        <v>6</v>
      </c>
      <c r="K8" s="17"/>
      <c r="L8" s="18" t="s">
        <v>8</v>
      </c>
      <c r="M8" s="17"/>
      <c r="N8" s="17"/>
      <c r="O8" s="19"/>
    </row>
    <row r="9" spans="1:15" ht="15.6" customHeight="1" thickBot="1">
      <c r="A9" s="32" t="s">
        <v>9</v>
      </c>
      <c r="B9" s="34">
        <v>1</v>
      </c>
      <c r="C9" s="35">
        <v>2</v>
      </c>
      <c r="D9" s="35">
        <v>3</v>
      </c>
      <c r="E9" s="36">
        <v>4</v>
      </c>
      <c r="F9" s="35">
        <v>5</v>
      </c>
      <c r="G9" s="37">
        <v>6</v>
      </c>
      <c r="J9" s="20"/>
      <c r="K9" s="20"/>
      <c r="L9" s="20"/>
      <c r="M9" s="20"/>
      <c r="N9" s="20"/>
    </row>
    <row r="10" spans="1:15" ht="15.6" customHeight="1">
      <c r="A10" s="33" t="s">
        <v>10</v>
      </c>
      <c r="B10" s="21">
        <v>11</v>
      </c>
      <c r="C10" s="21">
        <v>12</v>
      </c>
      <c r="D10" s="21">
        <f>D11</f>
        <v>45</v>
      </c>
      <c r="E10" s="21">
        <v>34</v>
      </c>
      <c r="F10" s="63">
        <v>56</v>
      </c>
      <c r="G10" s="63">
        <v>20</v>
      </c>
      <c r="J10" s="23"/>
      <c r="K10" s="23"/>
      <c r="L10" s="23"/>
      <c r="M10" s="23"/>
      <c r="N10" s="23"/>
    </row>
    <row r="11" spans="1:15" ht="15.6" customHeight="1">
      <c r="A11" s="33" t="s">
        <v>11</v>
      </c>
      <c r="B11" s="24">
        <v>12</v>
      </c>
      <c r="C11" s="24">
        <v>14</v>
      </c>
      <c r="D11" s="24">
        <v>45</v>
      </c>
      <c r="E11" s="24">
        <v>16</v>
      </c>
      <c r="F11" s="64">
        <v>56</v>
      </c>
      <c r="G11" s="64">
        <v>19</v>
      </c>
      <c r="J11" s="22"/>
      <c r="K11" s="23"/>
      <c r="L11" s="23"/>
      <c r="M11" s="23"/>
      <c r="N11" s="23"/>
      <c r="O11" s="23"/>
    </row>
    <row r="12" spans="1:15" ht="15.6" customHeight="1">
      <c r="A12" s="33" t="s">
        <v>12</v>
      </c>
      <c r="B12" s="24">
        <v>14</v>
      </c>
      <c r="C12" s="24">
        <v>34</v>
      </c>
      <c r="D12" s="24">
        <v>22</v>
      </c>
      <c r="E12" s="24">
        <v>14</v>
      </c>
      <c r="F12" s="64">
        <v>21</v>
      </c>
      <c r="G12" s="64">
        <v>14</v>
      </c>
      <c r="J12" s="22"/>
      <c r="K12" s="23"/>
      <c r="L12" s="23"/>
      <c r="M12" s="23"/>
      <c r="N12" s="23"/>
      <c r="O12" s="23"/>
    </row>
    <row r="13" spans="1:15" ht="15.6" customHeight="1">
      <c r="A13" s="33" t="s">
        <v>13</v>
      </c>
      <c r="B13" s="24">
        <v>15</v>
      </c>
      <c r="C13" s="24">
        <v>15</v>
      </c>
      <c r="D13" s="24">
        <v>26</v>
      </c>
      <c r="E13" s="24">
        <v>43</v>
      </c>
      <c r="F13" s="64">
        <v>15</v>
      </c>
      <c r="G13" s="73"/>
      <c r="J13" s="22"/>
      <c r="K13" s="23"/>
      <c r="L13" s="23"/>
      <c r="M13" s="23"/>
      <c r="N13" s="23"/>
      <c r="O13" s="23"/>
    </row>
    <row r="14" spans="1:15" ht="15.6" customHeight="1">
      <c r="A14" s="33" t="s">
        <v>14</v>
      </c>
      <c r="B14" s="24"/>
      <c r="C14" s="24">
        <v>17</v>
      </c>
      <c r="D14" s="24">
        <v>17</v>
      </c>
      <c r="E14" s="24">
        <v>18</v>
      </c>
      <c r="F14" s="64">
        <v>35</v>
      </c>
      <c r="G14" s="64">
        <v>17</v>
      </c>
      <c r="J14" s="22"/>
      <c r="K14" s="23"/>
      <c r="L14" s="23"/>
      <c r="M14" s="23"/>
      <c r="N14" s="23"/>
      <c r="O14" s="23"/>
    </row>
    <row r="15" spans="1:15" ht="15.6" customHeight="1">
      <c r="A15" s="33" t="s">
        <v>15</v>
      </c>
      <c r="B15" s="24">
        <v>19</v>
      </c>
      <c r="C15" s="24">
        <v>33</v>
      </c>
      <c r="D15" s="24">
        <v>45</v>
      </c>
      <c r="E15" s="24">
        <v>19</v>
      </c>
      <c r="F15" s="64">
        <f>SUM(F10:F11)</f>
        <v>112</v>
      </c>
      <c r="G15" s="64">
        <v>11</v>
      </c>
      <c r="J15" s="22"/>
      <c r="K15" s="23"/>
      <c r="L15" s="23"/>
      <c r="M15" s="23"/>
      <c r="N15" s="23"/>
      <c r="O15" s="23"/>
    </row>
    <row r="16" spans="1:15" ht="15.6" customHeight="1">
      <c r="A16" s="33" t="s">
        <v>16</v>
      </c>
      <c r="B16" s="24"/>
      <c r="C16" s="24">
        <v>22</v>
      </c>
      <c r="D16" s="24">
        <v>32</v>
      </c>
      <c r="E16" s="24">
        <v>22</v>
      </c>
      <c r="F16" s="64">
        <v>21</v>
      </c>
      <c r="G16" s="64">
        <v>34</v>
      </c>
      <c r="J16" s="22"/>
      <c r="K16" s="23"/>
      <c r="L16" s="23"/>
      <c r="M16" s="23"/>
      <c r="N16" s="23"/>
      <c r="O16" s="23"/>
    </row>
    <row r="17" spans="1:15" ht="15.6" customHeight="1">
      <c r="A17" s="33" t="s">
        <v>17</v>
      </c>
      <c r="B17" s="24">
        <v>11</v>
      </c>
      <c r="C17" s="24">
        <v>21</v>
      </c>
      <c r="D17" s="24">
        <v>36</v>
      </c>
      <c r="E17" s="24">
        <v>34</v>
      </c>
      <c r="F17" s="64">
        <v>11</v>
      </c>
      <c r="G17" s="64">
        <v>23</v>
      </c>
      <c r="J17" s="22"/>
      <c r="K17" s="23"/>
      <c r="L17" s="23"/>
      <c r="M17" s="23"/>
      <c r="N17" s="23"/>
      <c r="O17" s="23"/>
    </row>
    <row r="18" spans="1:15" ht="15.6" customHeight="1">
      <c r="A18" s="33" t="s">
        <v>18</v>
      </c>
      <c r="B18" s="24">
        <v>19</v>
      </c>
      <c r="C18" s="24">
        <v>19</v>
      </c>
      <c r="D18" s="24">
        <v>17</v>
      </c>
      <c r="E18" s="24">
        <v>19</v>
      </c>
      <c r="F18" s="64">
        <v>11</v>
      </c>
      <c r="G18" s="64">
        <v>56</v>
      </c>
      <c r="J18" s="22"/>
      <c r="K18" s="23"/>
      <c r="L18" s="23"/>
      <c r="M18" s="23"/>
      <c r="N18" s="23"/>
      <c r="O18" s="23"/>
    </row>
    <row r="19" spans="1:15" ht="15.6" customHeight="1">
      <c r="A19" s="33" t="s">
        <v>19</v>
      </c>
      <c r="B19" s="24"/>
      <c r="C19" s="24">
        <v>34</v>
      </c>
      <c r="D19" s="24">
        <v>23</v>
      </c>
      <c r="E19" s="24">
        <v>18</v>
      </c>
      <c r="F19" s="64">
        <v>21</v>
      </c>
      <c r="G19" s="64">
        <v>23</v>
      </c>
      <c r="J19" s="22"/>
      <c r="K19" s="23"/>
      <c r="L19" s="23"/>
      <c r="M19" s="23"/>
      <c r="N19" s="23"/>
      <c r="O19" s="23"/>
    </row>
    <row r="20" spans="1:15" ht="15.6" customHeight="1">
      <c r="A20" s="33" t="s">
        <v>20</v>
      </c>
      <c r="B20" s="24">
        <v>20</v>
      </c>
      <c r="C20" s="24">
        <v>20</v>
      </c>
      <c r="D20" s="24"/>
      <c r="E20" s="24">
        <v>20</v>
      </c>
      <c r="F20" s="64">
        <v>22</v>
      </c>
      <c r="G20" s="64">
        <v>20</v>
      </c>
      <c r="J20" s="22"/>
      <c r="K20" s="23"/>
      <c r="L20" s="23"/>
      <c r="M20" s="23"/>
      <c r="N20" s="23"/>
      <c r="O20" s="23"/>
    </row>
    <row r="21" spans="1:15" ht="15.6" customHeight="1" thickBot="1">
      <c r="A21" s="33" t="s">
        <v>21</v>
      </c>
      <c r="B21" s="25">
        <v>21</v>
      </c>
      <c r="C21" s="25">
        <v>21</v>
      </c>
      <c r="D21" s="25">
        <v>21</v>
      </c>
      <c r="E21" s="25">
        <v>21</v>
      </c>
      <c r="F21" s="65">
        <f>SUM(G18:G21)</f>
        <v>110</v>
      </c>
      <c r="G21" s="65">
        <v>11</v>
      </c>
      <c r="J21" s="22"/>
      <c r="K21" s="23"/>
      <c r="L21" s="23"/>
      <c r="M21" s="23"/>
      <c r="N21" s="23"/>
      <c r="O21" s="23"/>
    </row>
    <row r="22" spans="1:15" ht="15.6" customHeight="1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5" s="30" customFormat="1" ht="18.75" thickBot="1">
      <c r="A23" s="26" t="s">
        <v>22</v>
      </c>
      <c r="B23" s="27"/>
      <c r="C23" s="28"/>
      <c r="D23" s="28"/>
      <c r="E23" s="28"/>
      <c r="F23" s="28"/>
      <c r="G23" s="28"/>
      <c r="H23" s="29"/>
      <c r="I23" s="29"/>
      <c r="J23" s="26"/>
    </row>
    <row r="24" spans="1:15" ht="17.100000000000001" customHeight="1" thickBot="1">
      <c r="A24" s="38"/>
      <c r="B24" s="78" t="s">
        <v>23</v>
      </c>
      <c r="C24" s="79"/>
      <c r="D24" s="79"/>
      <c r="E24" s="79"/>
      <c r="F24" s="79"/>
      <c r="G24" s="80"/>
      <c r="H24" s="4"/>
    </row>
    <row r="25" spans="1:15" ht="17.100000000000001" customHeight="1" thickBot="1">
      <c r="A25" s="66"/>
      <c r="B25" s="67"/>
      <c r="C25" s="67"/>
      <c r="D25" s="67"/>
      <c r="E25" s="67"/>
      <c r="F25" s="67"/>
      <c r="G25" s="68"/>
      <c r="H25" s="4"/>
    </row>
    <row r="26" spans="1:15" ht="17.100000000000001" customHeight="1" thickBot="1">
      <c r="A26" s="39" t="s">
        <v>6</v>
      </c>
      <c r="B26" s="40">
        <f>B9</f>
        <v>1</v>
      </c>
      <c r="C26" s="41">
        <f>C9</f>
        <v>2</v>
      </c>
      <c r="D26" s="41">
        <f>D9</f>
        <v>3</v>
      </c>
      <c r="E26" s="41">
        <v>4</v>
      </c>
      <c r="F26" s="41">
        <f>F9</f>
        <v>5</v>
      </c>
      <c r="G26" s="42">
        <v>6</v>
      </c>
      <c r="H26" s="4"/>
    </row>
    <row r="27" spans="1:15" ht="15.95" customHeight="1">
      <c r="A27" s="43" t="str">
        <f t="shared" ref="A27:A38" si="0">A10</f>
        <v>Tab 1</v>
      </c>
      <c r="B27" s="44">
        <f>B10*$G$3*$G$4/75</f>
        <v>36.666666666666664</v>
      </c>
      <c r="C27" s="44">
        <v>55</v>
      </c>
      <c r="D27" s="44">
        <f t="shared" ref="D27:D38" si="1">D10*$G$3*$G$4/100</f>
        <v>112.5</v>
      </c>
      <c r="E27" s="44">
        <f>E10*$G$3*$G$4/75</f>
        <v>113.33333333333333</v>
      </c>
      <c r="F27" s="44">
        <f>F10*$G$3*$G$4/200</f>
        <v>70</v>
      </c>
      <c r="G27" s="45">
        <f>G10*$G$3*$G$4/75</f>
        <v>66.666666666666671</v>
      </c>
      <c r="H27" s="4"/>
    </row>
    <row r="28" spans="1:15" ht="15.95" customHeight="1">
      <c r="A28" s="43" t="str">
        <f t="shared" si="0"/>
        <v>Tab 2</v>
      </c>
      <c r="B28" s="44">
        <f t="shared" ref="B28:C38" si="2">B11*$G$3*$G$4/100</f>
        <v>30</v>
      </c>
      <c r="C28" s="44">
        <f t="shared" si="2"/>
        <v>35</v>
      </c>
      <c r="D28" s="44">
        <f t="shared" si="1"/>
        <v>112.5</v>
      </c>
      <c r="E28" s="44">
        <f t="shared" ref="E28:G38" si="3">E11*$G$3*$G$4/100</f>
        <v>40</v>
      </c>
      <c r="F28" s="44">
        <f t="shared" si="3"/>
        <v>140</v>
      </c>
      <c r="G28" s="46">
        <f t="shared" si="3"/>
        <v>47.5</v>
      </c>
      <c r="H28" s="4"/>
    </row>
    <row r="29" spans="1:15" ht="15.95" customHeight="1">
      <c r="A29" s="43" t="str">
        <f t="shared" si="0"/>
        <v>Tab 3</v>
      </c>
      <c r="B29" s="44">
        <f t="shared" si="2"/>
        <v>35</v>
      </c>
      <c r="C29" s="44">
        <f t="shared" si="2"/>
        <v>85</v>
      </c>
      <c r="D29" s="44">
        <f t="shared" si="1"/>
        <v>55</v>
      </c>
      <c r="E29" s="44">
        <f t="shared" si="3"/>
        <v>35</v>
      </c>
      <c r="F29" s="44">
        <f t="shared" si="3"/>
        <v>52.5</v>
      </c>
      <c r="G29" s="46">
        <f t="shared" si="3"/>
        <v>35</v>
      </c>
      <c r="H29" s="4"/>
    </row>
    <row r="30" spans="1:15" ht="15.95" customHeight="1">
      <c r="A30" s="43" t="str">
        <f t="shared" si="0"/>
        <v>Tab 4</v>
      </c>
      <c r="B30" s="44">
        <f t="shared" si="2"/>
        <v>37.5</v>
      </c>
      <c r="C30" s="44">
        <f t="shared" si="2"/>
        <v>37.5</v>
      </c>
      <c r="D30" s="44">
        <f t="shared" si="1"/>
        <v>65</v>
      </c>
      <c r="E30" s="44">
        <f t="shared" si="3"/>
        <v>107.5</v>
      </c>
      <c r="F30" s="44">
        <f t="shared" si="3"/>
        <v>37.5</v>
      </c>
      <c r="G30" s="46">
        <f t="shared" si="3"/>
        <v>0</v>
      </c>
      <c r="H30" s="4"/>
    </row>
    <row r="31" spans="1:15" ht="15.95" customHeight="1">
      <c r="A31" s="43" t="str">
        <f t="shared" si="0"/>
        <v>Tab 5</v>
      </c>
      <c r="B31" s="44">
        <f t="shared" si="2"/>
        <v>0</v>
      </c>
      <c r="C31" s="44">
        <f t="shared" si="2"/>
        <v>42.5</v>
      </c>
      <c r="D31" s="44">
        <f t="shared" si="1"/>
        <v>42.5</v>
      </c>
      <c r="E31" s="44">
        <f t="shared" si="3"/>
        <v>45</v>
      </c>
      <c r="F31" s="44">
        <f t="shared" si="3"/>
        <v>87.5</v>
      </c>
      <c r="G31" s="46">
        <f t="shared" si="3"/>
        <v>42.5</v>
      </c>
      <c r="H31" s="4"/>
    </row>
    <row r="32" spans="1:15" ht="15.95" customHeight="1">
      <c r="A32" s="43" t="str">
        <f t="shared" si="0"/>
        <v>Tab 6</v>
      </c>
      <c r="B32" s="44">
        <f t="shared" si="2"/>
        <v>47.5</v>
      </c>
      <c r="C32" s="44">
        <f t="shared" si="2"/>
        <v>82.5</v>
      </c>
      <c r="D32" s="44">
        <f t="shared" si="1"/>
        <v>112.5</v>
      </c>
      <c r="E32" s="44">
        <f t="shared" si="3"/>
        <v>47.5</v>
      </c>
      <c r="F32" s="44">
        <f t="shared" si="3"/>
        <v>280</v>
      </c>
      <c r="G32" s="46">
        <f t="shared" si="3"/>
        <v>27.5</v>
      </c>
      <c r="H32" s="4"/>
    </row>
    <row r="33" spans="1:10" ht="15.95" customHeight="1">
      <c r="A33" s="43" t="str">
        <f t="shared" si="0"/>
        <v>Tab 7</v>
      </c>
      <c r="B33" s="44">
        <f t="shared" si="2"/>
        <v>0</v>
      </c>
      <c r="C33" s="44">
        <f t="shared" si="2"/>
        <v>55</v>
      </c>
      <c r="D33" s="44">
        <f t="shared" si="1"/>
        <v>80</v>
      </c>
      <c r="E33" s="44">
        <f t="shared" si="3"/>
        <v>55</v>
      </c>
      <c r="F33" s="44">
        <f t="shared" si="3"/>
        <v>52.5</v>
      </c>
      <c r="G33" s="46">
        <f t="shared" si="3"/>
        <v>85</v>
      </c>
      <c r="H33" s="4"/>
    </row>
    <row r="34" spans="1:10" ht="15.95" customHeight="1">
      <c r="A34" s="43" t="str">
        <f t="shared" si="0"/>
        <v>Tab 8</v>
      </c>
      <c r="B34" s="44">
        <f t="shared" si="2"/>
        <v>27.5</v>
      </c>
      <c r="C34" s="44">
        <f t="shared" si="2"/>
        <v>52.5</v>
      </c>
      <c r="D34" s="44">
        <f t="shared" si="1"/>
        <v>90</v>
      </c>
      <c r="E34" s="44">
        <f t="shared" si="3"/>
        <v>85</v>
      </c>
      <c r="F34" s="44">
        <f t="shared" si="3"/>
        <v>27.5</v>
      </c>
      <c r="G34" s="46">
        <f t="shared" si="3"/>
        <v>57.5</v>
      </c>
      <c r="H34" s="4"/>
    </row>
    <row r="35" spans="1:10" ht="15.95" customHeight="1">
      <c r="A35" s="43" t="str">
        <f t="shared" si="0"/>
        <v>Tab 9</v>
      </c>
      <c r="B35" s="44">
        <f t="shared" si="2"/>
        <v>47.5</v>
      </c>
      <c r="C35" s="44">
        <f t="shared" si="2"/>
        <v>47.5</v>
      </c>
      <c r="D35" s="44">
        <f t="shared" si="1"/>
        <v>42.5</v>
      </c>
      <c r="E35" s="44">
        <f t="shared" si="3"/>
        <v>47.5</v>
      </c>
      <c r="F35" s="44">
        <f t="shared" si="3"/>
        <v>27.5</v>
      </c>
      <c r="G35" s="46">
        <f t="shared" si="3"/>
        <v>140</v>
      </c>
      <c r="H35" s="4"/>
    </row>
    <row r="36" spans="1:10" ht="15.95" customHeight="1">
      <c r="A36" s="43" t="str">
        <f t="shared" si="0"/>
        <v>Tab 10</v>
      </c>
      <c r="B36" s="44">
        <f t="shared" si="2"/>
        <v>0</v>
      </c>
      <c r="C36" s="44">
        <f t="shared" si="2"/>
        <v>85</v>
      </c>
      <c r="D36" s="44">
        <f t="shared" si="1"/>
        <v>57.5</v>
      </c>
      <c r="E36" s="44">
        <f t="shared" si="3"/>
        <v>45</v>
      </c>
      <c r="F36" s="44">
        <f t="shared" si="3"/>
        <v>52.5</v>
      </c>
      <c r="G36" s="46">
        <f t="shared" si="3"/>
        <v>57.5</v>
      </c>
      <c r="H36" s="4"/>
    </row>
    <row r="37" spans="1:10" ht="15.95" customHeight="1">
      <c r="A37" s="43" t="str">
        <f t="shared" si="0"/>
        <v>Tab 11</v>
      </c>
      <c r="B37" s="44">
        <f t="shared" si="2"/>
        <v>50</v>
      </c>
      <c r="C37" s="44">
        <f t="shared" si="2"/>
        <v>50</v>
      </c>
      <c r="D37" s="44">
        <f t="shared" si="1"/>
        <v>0</v>
      </c>
      <c r="E37" s="44">
        <f t="shared" si="3"/>
        <v>50</v>
      </c>
      <c r="F37" s="44">
        <f t="shared" si="3"/>
        <v>55</v>
      </c>
      <c r="G37" s="46">
        <f t="shared" si="3"/>
        <v>50</v>
      </c>
      <c r="H37" s="4"/>
    </row>
    <row r="38" spans="1:10" ht="15.95" customHeight="1" thickBot="1">
      <c r="A38" s="47" t="str">
        <f t="shared" si="0"/>
        <v>Tab 12</v>
      </c>
      <c r="B38" s="48">
        <f t="shared" si="2"/>
        <v>52.5</v>
      </c>
      <c r="C38" s="49">
        <f t="shared" si="2"/>
        <v>52.5</v>
      </c>
      <c r="D38" s="49">
        <f t="shared" si="1"/>
        <v>52.5</v>
      </c>
      <c r="E38" s="49">
        <f t="shared" si="3"/>
        <v>52.5</v>
      </c>
      <c r="F38" s="49">
        <f t="shared" si="3"/>
        <v>275</v>
      </c>
      <c r="G38" s="50">
        <f t="shared" si="3"/>
        <v>27.5</v>
      </c>
      <c r="H38" s="4"/>
    </row>
    <row r="39" spans="1:10">
      <c r="A39" s="44"/>
      <c r="B39" s="44"/>
      <c r="C39" s="44"/>
      <c r="D39" s="44"/>
      <c r="E39" s="44"/>
      <c r="F39" s="44"/>
      <c r="G39" s="44"/>
      <c r="H39" s="4"/>
    </row>
    <row r="40" spans="1:10" ht="15.95" customHeight="1" thickBot="1">
      <c r="A40" s="59" t="s">
        <v>26</v>
      </c>
      <c r="B40" s="60">
        <f t="shared" ref="B40:G40" si="4">AVERAGE(B$27:B$38)</f>
        <v>30.347222222222218</v>
      </c>
      <c r="C40" s="61">
        <f t="shared" si="4"/>
        <v>56.666666666666664</v>
      </c>
      <c r="D40" s="61">
        <f t="shared" si="4"/>
        <v>68.541666666666671</v>
      </c>
      <c r="E40" s="61">
        <f t="shared" si="4"/>
        <v>60.277777777777771</v>
      </c>
      <c r="F40" s="61">
        <f t="shared" si="4"/>
        <v>96.458333333333329</v>
      </c>
      <c r="G40" s="62">
        <f t="shared" si="4"/>
        <v>53.055555555555564</v>
      </c>
      <c r="H40" s="4"/>
    </row>
    <row r="41" spans="1:10" ht="15.95" customHeight="1">
      <c r="A41" s="3"/>
      <c r="B41" s="3"/>
      <c r="C41" s="3"/>
      <c r="D41" s="3"/>
      <c r="E41" s="3"/>
      <c r="F41" s="3"/>
      <c r="G41" s="3"/>
      <c r="H41" s="4"/>
    </row>
    <row r="42" spans="1:10" ht="15.95" customHeight="1">
      <c r="A42" s="69" t="s">
        <v>27</v>
      </c>
      <c r="B42" s="70"/>
      <c r="C42" s="70"/>
      <c r="D42" s="70"/>
      <c r="E42" s="70"/>
      <c r="F42" s="70"/>
      <c r="G42" s="70"/>
      <c r="H42" s="4"/>
    </row>
    <row r="43" spans="1:10" ht="15.6" customHeight="1">
      <c r="A43" s="69" t="s">
        <v>27</v>
      </c>
      <c r="B43" s="70"/>
      <c r="C43" s="70"/>
      <c r="D43" s="70"/>
      <c r="E43" s="70"/>
      <c r="F43" s="70"/>
      <c r="G43" s="70"/>
      <c r="H43" s="3"/>
      <c r="I43" s="3"/>
      <c r="J43" s="3"/>
    </row>
    <row r="44" spans="1:10">
      <c r="A44" s="69" t="s">
        <v>27</v>
      </c>
      <c r="B44" s="70"/>
      <c r="C44" s="70"/>
      <c r="D44" s="70"/>
      <c r="E44" s="70"/>
      <c r="F44" s="70"/>
      <c r="G44" s="70"/>
    </row>
    <row r="45" spans="1:10" ht="15" customHeight="1">
      <c r="A45" s="69" t="s">
        <v>27</v>
      </c>
      <c r="B45" s="70"/>
      <c r="C45" s="70"/>
      <c r="D45" s="70"/>
      <c r="E45" s="70"/>
      <c r="F45" s="70"/>
      <c r="G45" s="70"/>
    </row>
    <row r="46" spans="1:10" ht="15" customHeight="1">
      <c r="A46" s="69" t="s">
        <v>27</v>
      </c>
      <c r="B46" s="70"/>
      <c r="C46" s="70"/>
      <c r="D46" s="70"/>
      <c r="E46" s="70"/>
      <c r="F46" s="70"/>
      <c r="G46" s="70"/>
    </row>
    <row r="47" spans="1:10" ht="15" customHeight="1">
      <c r="A47" s="69" t="s">
        <v>27</v>
      </c>
      <c r="B47" s="70"/>
      <c r="C47" s="70"/>
      <c r="D47" s="70"/>
      <c r="E47" s="70"/>
      <c r="F47" s="70"/>
      <c r="G47" s="70"/>
    </row>
    <row r="48" spans="1:10" ht="15" customHeight="1"/>
    <row r="49" ht="15" customHeight="1"/>
  </sheetData>
  <mergeCells count="3">
    <mergeCell ref="A1:G1"/>
    <mergeCell ref="B8:G8"/>
    <mergeCell ref="B24:G24"/>
  </mergeCells>
  <pageMargins left="0.75" right="0.75" top="0.25" bottom="0.25" header="0.25" footer="0.2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49"/>
  <sheetViews>
    <sheetView topLeftCell="A14" workbookViewId="0">
      <selection activeCell="M28" sqref="M28"/>
    </sheetView>
  </sheetViews>
  <sheetFormatPr defaultRowHeight="12.75"/>
  <cols>
    <col min="1" max="1" width="17.28515625" customWidth="1"/>
    <col min="2" max="2" width="16.7109375" customWidth="1"/>
    <col min="3" max="7" width="13.140625" customWidth="1"/>
  </cols>
  <sheetData>
    <row r="1" spans="1:7" ht="23.25">
      <c r="A1" s="74" t="s">
        <v>0</v>
      </c>
      <c r="B1" s="74"/>
      <c r="C1" s="74"/>
      <c r="D1" s="74"/>
      <c r="E1" s="74"/>
      <c r="F1" s="74"/>
      <c r="G1" s="74"/>
    </row>
    <row r="2" spans="1:7" ht="14.25">
      <c r="A2" s="3"/>
      <c r="B2" s="3"/>
      <c r="C2" s="3"/>
      <c r="D2" s="3"/>
      <c r="E2" s="3"/>
      <c r="F2" s="3"/>
      <c r="G2" s="4"/>
    </row>
    <row r="3" spans="1:7" ht="15">
      <c r="A3" s="6" t="s">
        <v>1</v>
      </c>
      <c r="B3" s="7"/>
      <c r="C3" s="8"/>
      <c r="D3" s="9"/>
      <c r="E3" s="10" t="s">
        <v>2</v>
      </c>
      <c r="F3" s="10"/>
      <c r="G3" s="11">
        <v>2.5</v>
      </c>
    </row>
    <row r="4" spans="1:7" ht="15">
      <c r="A4" s="6" t="s">
        <v>3</v>
      </c>
      <c r="B4" s="12"/>
      <c r="C4" s="8"/>
      <c r="D4" s="9"/>
      <c r="E4" s="10" t="s">
        <v>4</v>
      </c>
      <c r="F4" s="10"/>
      <c r="G4" s="11">
        <v>100</v>
      </c>
    </row>
    <row r="5" spans="1:7" ht="14.25">
      <c r="A5" s="10"/>
      <c r="B5" s="10"/>
      <c r="C5" s="10"/>
      <c r="D5" s="10"/>
      <c r="E5" s="10"/>
      <c r="F5" s="10"/>
      <c r="G5" s="10"/>
    </row>
    <row r="6" spans="1:7" ht="15" customHeight="1">
      <c r="A6" s="13" t="s">
        <v>5</v>
      </c>
      <c r="B6" s="10"/>
      <c r="C6" s="10"/>
      <c r="D6" s="10"/>
      <c r="E6" s="10"/>
      <c r="F6" s="10"/>
      <c r="G6" s="10"/>
    </row>
    <row r="7" spans="1:7" ht="15" customHeight="1" thickBot="1">
      <c r="A7" s="3"/>
      <c r="B7" s="3"/>
      <c r="C7" s="3"/>
      <c r="D7" s="3"/>
      <c r="E7" s="3"/>
      <c r="F7" s="3"/>
      <c r="G7" s="3"/>
    </row>
    <row r="8" spans="1:7" ht="15" customHeight="1">
      <c r="A8" s="31" t="s">
        <v>6</v>
      </c>
      <c r="B8" s="75" t="s">
        <v>7</v>
      </c>
      <c r="C8" s="76"/>
      <c r="D8" s="76"/>
      <c r="E8" s="76"/>
      <c r="F8" s="76"/>
      <c r="G8" s="77"/>
    </row>
    <row r="9" spans="1:7" ht="15" customHeight="1" thickBot="1">
      <c r="A9" s="32" t="s">
        <v>9</v>
      </c>
      <c r="B9" s="34">
        <v>1</v>
      </c>
      <c r="C9" s="35">
        <v>2</v>
      </c>
      <c r="D9" s="35">
        <v>3</v>
      </c>
      <c r="E9" s="36">
        <v>4</v>
      </c>
      <c r="F9" s="35">
        <v>5</v>
      </c>
      <c r="G9" s="37">
        <v>6</v>
      </c>
    </row>
    <row r="10" spans="1:7" ht="15" customHeight="1">
      <c r="A10" s="33" t="s">
        <v>10</v>
      </c>
      <c r="B10" s="21">
        <v>25</v>
      </c>
      <c r="C10" s="21">
        <v>34</v>
      </c>
      <c r="D10" s="21">
        <f>D11</f>
        <v>45</v>
      </c>
      <c r="E10" s="21">
        <v>34</v>
      </c>
      <c r="F10" s="63">
        <v>56</v>
      </c>
      <c r="G10" s="63"/>
    </row>
    <row r="11" spans="1:7" ht="15" customHeight="1">
      <c r="A11" s="33" t="s">
        <v>11</v>
      </c>
      <c r="B11" s="24">
        <v>12</v>
      </c>
      <c r="C11" s="24">
        <v>14</v>
      </c>
      <c r="D11" s="24">
        <v>45</v>
      </c>
      <c r="E11" s="24">
        <v>16</v>
      </c>
      <c r="F11" s="64">
        <v>56</v>
      </c>
      <c r="G11" s="64"/>
    </row>
    <row r="12" spans="1:7" ht="15" customHeight="1">
      <c r="A12" s="33" t="s">
        <v>12</v>
      </c>
      <c r="B12" s="24">
        <v>14</v>
      </c>
      <c r="C12" s="24">
        <v>34</v>
      </c>
      <c r="D12" s="24">
        <v>22</v>
      </c>
      <c r="E12" s="24">
        <v>14</v>
      </c>
      <c r="F12" s="64">
        <v>21</v>
      </c>
      <c r="G12" s="64"/>
    </row>
    <row r="13" spans="1:7" ht="15" customHeight="1">
      <c r="A13" s="33" t="s">
        <v>13</v>
      </c>
      <c r="B13" s="24">
        <v>15</v>
      </c>
      <c r="C13" s="24">
        <v>15</v>
      </c>
      <c r="D13" s="24">
        <v>26</v>
      </c>
      <c r="E13" s="24">
        <v>43</v>
      </c>
      <c r="F13" s="64">
        <v>15</v>
      </c>
      <c r="G13" s="64"/>
    </row>
    <row r="14" spans="1:7" ht="15" customHeight="1">
      <c r="A14" s="33" t="s">
        <v>14</v>
      </c>
      <c r="B14" s="24"/>
      <c r="C14" s="24">
        <v>17</v>
      </c>
      <c r="D14" s="24">
        <v>17</v>
      </c>
      <c r="E14" s="24">
        <v>18</v>
      </c>
      <c r="F14" s="64">
        <v>35</v>
      </c>
      <c r="G14" s="64"/>
    </row>
    <row r="15" spans="1:7" ht="15" customHeight="1">
      <c r="A15" s="33" t="s">
        <v>15</v>
      </c>
      <c r="B15" s="24">
        <v>19</v>
      </c>
      <c r="C15" s="24">
        <v>33</v>
      </c>
      <c r="D15" s="24">
        <v>45</v>
      </c>
      <c r="E15" s="24">
        <v>19</v>
      </c>
      <c r="F15" s="64">
        <f>SUM(F10:F11)</f>
        <v>112</v>
      </c>
      <c r="G15" s="64"/>
    </row>
    <row r="16" spans="1:7" ht="15" customHeight="1">
      <c r="A16" s="33" t="s">
        <v>16</v>
      </c>
      <c r="B16" s="24"/>
      <c r="C16" s="24">
        <v>22</v>
      </c>
      <c r="D16" s="24">
        <v>32</v>
      </c>
      <c r="E16" s="24">
        <v>22</v>
      </c>
      <c r="F16" s="64">
        <v>21</v>
      </c>
      <c r="G16" s="64"/>
    </row>
    <row r="17" spans="1:7" ht="15" customHeight="1">
      <c r="A17" s="33" t="s">
        <v>17</v>
      </c>
      <c r="B17" s="24">
        <v>11</v>
      </c>
      <c r="C17" s="24">
        <v>21</v>
      </c>
      <c r="D17" s="24">
        <v>36</v>
      </c>
      <c r="E17" s="24">
        <v>34</v>
      </c>
      <c r="F17" s="64">
        <v>11</v>
      </c>
      <c r="G17" s="64"/>
    </row>
    <row r="18" spans="1:7" ht="15" customHeight="1">
      <c r="A18" s="33" t="s">
        <v>18</v>
      </c>
      <c r="B18" s="24">
        <v>19</v>
      </c>
      <c r="C18" s="24">
        <v>19</v>
      </c>
      <c r="D18" s="24">
        <v>17</v>
      </c>
      <c r="E18" s="24">
        <v>19</v>
      </c>
      <c r="F18" s="64">
        <v>11</v>
      </c>
      <c r="G18" s="64"/>
    </row>
    <row r="19" spans="1:7" ht="15" customHeight="1">
      <c r="A19" s="33" t="s">
        <v>19</v>
      </c>
      <c r="B19" s="24"/>
      <c r="C19" s="24">
        <v>34</v>
      </c>
      <c r="D19" s="24">
        <v>23</v>
      </c>
      <c r="E19" s="24">
        <v>18</v>
      </c>
      <c r="F19" s="64">
        <v>21</v>
      </c>
      <c r="G19" s="64"/>
    </row>
    <row r="20" spans="1:7" ht="15" customHeight="1">
      <c r="A20" s="33" t="s">
        <v>20</v>
      </c>
      <c r="B20" s="24">
        <v>20</v>
      </c>
      <c r="C20" s="24">
        <v>20</v>
      </c>
      <c r="D20" s="24"/>
      <c r="E20" s="24">
        <v>20</v>
      </c>
      <c r="F20" s="64">
        <v>22</v>
      </c>
      <c r="G20" s="64"/>
    </row>
    <row r="21" spans="1:7" ht="15" customHeight="1" thickBot="1">
      <c r="A21" s="33" t="s">
        <v>21</v>
      </c>
      <c r="B21" s="25">
        <v>21</v>
      </c>
      <c r="C21" s="25">
        <v>21</v>
      </c>
      <c r="D21" s="25">
        <v>21</v>
      </c>
      <c r="E21" s="25">
        <v>21</v>
      </c>
      <c r="F21" s="65">
        <f>SUM(G18:G21)</f>
        <v>0</v>
      </c>
      <c r="G21" s="65"/>
    </row>
    <row r="22" spans="1:7" ht="15" customHeight="1">
      <c r="A22" s="3"/>
      <c r="B22" s="3"/>
      <c r="C22" s="3"/>
      <c r="D22" s="3"/>
      <c r="E22" s="3"/>
      <c r="F22" s="3"/>
      <c r="G22" s="3"/>
    </row>
    <row r="23" spans="1:7" ht="15" customHeight="1" thickBot="1">
      <c r="A23" s="26" t="s">
        <v>22</v>
      </c>
      <c r="B23" s="27"/>
      <c r="C23" s="28"/>
      <c r="D23" s="28"/>
      <c r="E23" s="28"/>
      <c r="F23" s="28"/>
      <c r="G23" s="28"/>
    </row>
    <row r="24" spans="1:7" ht="15" customHeight="1" thickBot="1">
      <c r="A24" s="38"/>
      <c r="B24" s="78" t="s">
        <v>23</v>
      </c>
      <c r="C24" s="79"/>
      <c r="D24" s="79"/>
      <c r="E24" s="79"/>
      <c r="F24" s="79"/>
      <c r="G24" s="80"/>
    </row>
    <row r="25" spans="1:7" ht="15" customHeight="1" thickBot="1">
      <c r="A25" s="66"/>
      <c r="B25" s="67"/>
      <c r="C25" s="67"/>
      <c r="D25" s="67"/>
      <c r="E25" s="67"/>
      <c r="F25" s="67"/>
      <c r="G25" s="68"/>
    </row>
    <row r="26" spans="1:7" ht="15" customHeight="1" thickBot="1">
      <c r="A26" s="39" t="s">
        <v>6</v>
      </c>
      <c r="B26" s="40">
        <f>B9</f>
        <v>1</v>
      </c>
      <c r="C26" s="41">
        <f>C9</f>
        <v>2</v>
      </c>
      <c r="D26" s="41">
        <f>D9</f>
        <v>3</v>
      </c>
      <c r="E26" s="41">
        <v>4</v>
      </c>
      <c r="F26" s="41">
        <f>F9</f>
        <v>5</v>
      </c>
      <c r="G26" s="42">
        <v>6</v>
      </c>
    </row>
    <row r="27" spans="1:7" ht="15" customHeight="1">
      <c r="A27" s="43" t="str">
        <f t="shared" ref="A27:A38" si="0">A10</f>
        <v>Tab 1</v>
      </c>
      <c r="B27" s="44">
        <f>B10*$G$3*$G$4/75</f>
        <v>83.333333333333329</v>
      </c>
      <c r="C27" s="44">
        <v>55</v>
      </c>
      <c r="D27" s="44">
        <f t="shared" ref="D27:G38" si="1">D10*$G$3*$G$4/100</f>
        <v>112.5</v>
      </c>
      <c r="E27" s="44">
        <f>E10*$G$3*$G$4/75</f>
        <v>113.33333333333333</v>
      </c>
      <c r="F27" s="44">
        <f>F10*$G$3*$G$4/200</f>
        <v>70</v>
      </c>
      <c r="G27" s="45">
        <f>G10*$G$3*$G$4/75</f>
        <v>0</v>
      </c>
    </row>
    <row r="28" spans="1:7" ht="15" customHeight="1">
      <c r="A28" s="43" t="str">
        <f t="shared" si="0"/>
        <v>Tab 2</v>
      </c>
      <c r="B28" s="44">
        <f t="shared" ref="B28:C38" si="2">B11*$G$3*$G$4/100</f>
        <v>30</v>
      </c>
      <c r="C28" s="44">
        <f t="shared" si="2"/>
        <v>35</v>
      </c>
      <c r="D28" s="44">
        <f t="shared" si="1"/>
        <v>112.5</v>
      </c>
      <c r="E28" s="44">
        <f t="shared" si="1"/>
        <v>40</v>
      </c>
      <c r="F28" s="44">
        <f t="shared" si="1"/>
        <v>140</v>
      </c>
      <c r="G28" s="46">
        <f t="shared" si="1"/>
        <v>0</v>
      </c>
    </row>
    <row r="29" spans="1:7" ht="15" customHeight="1">
      <c r="A29" s="43" t="str">
        <f t="shared" si="0"/>
        <v>Tab 3</v>
      </c>
      <c r="B29" s="44">
        <f t="shared" si="2"/>
        <v>35</v>
      </c>
      <c r="C29" s="44">
        <f t="shared" si="2"/>
        <v>85</v>
      </c>
      <c r="D29" s="44">
        <f t="shared" si="1"/>
        <v>55</v>
      </c>
      <c r="E29" s="44">
        <f t="shared" si="1"/>
        <v>35</v>
      </c>
      <c r="F29" s="44">
        <f t="shared" si="1"/>
        <v>52.5</v>
      </c>
      <c r="G29" s="46">
        <f t="shared" si="1"/>
        <v>0</v>
      </c>
    </row>
    <row r="30" spans="1:7" ht="15" customHeight="1">
      <c r="A30" s="43" t="str">
        <f t="shared" si="0"/>
        <v>Tab 4</v>
      </c>
      <c r="B30" s="44">
        <f t="shared" si="2"/>
        <v>37.5</v>
      </c>
      <c r="C30" s="44">
        <f t="shared" si="2"/>
        <v>37.5</v>
      </c>
      <c r="D30" s="44">
        <f t="shared" si="1"/>
        <v>65</v>
      </c>
      <c r="E30" s="44">
        <f t="shared" si="1"/>
        <v>107.5</v>
      </c>
      <c r="F30" s="44">
        <f t="shared" si="1"/>
        <v>37.5</v>
      </c>
      <c r="G30" s="46">
        <f t="shared" si="1"/>
        <v>0</v>
      </c>
    </row>
    <row r="31" spans="1:7" ht="15" customHeight="1">
      <c r="A31" s="43" t="str">
        <f t="shared" si="0"/>
        <v>Tab 5</v>
      </c>
      <c r="B31" s="44">
        <f t="shared" si="2"/>
        <v>0</v>
      </c>
      <c r="C31" s="44">
        <f t="shared" si="2"/>
        <v>42.5</v>
      </c>
      <c r="D31" s="44">
        <f t="shared" si="1"/>
        <v>42.5</v>
      </c>
      <c r="E31" s="44">
        <f t="shared" si="1"/>
        <v>45</v>
      </c>
      <c r="F31" s="44">
        <f t="shared" si="1"/>
        <v>87.5</v>
      </c>
      <c r="G31" s="46">
        <f t="shared" si="1"/>
        <v>0</v>
      </c>
    </row>
    <row r="32" spans="1:7" ht="15" customHeight="1">
      <c r="A32" s="43" t="str">
        <f t="shared" si="0"/>
        <v>Tab 6</v>
      </c>
      <c r="B32" s="44">
        <f t="shared" si="2"/>
        <v>47.5</v>
      </c>
      <c r="C32" s="44">
        <f t="shared" si="2"/>
        <v>82.5</v>
      </c>
      <c r="D32" s="44">
        <f t="shared" si="1"/>
        <v>112.5</v>
      </c>
      <c r="E32" s="44">
        <f t="shared" si="1"/>
        <v>47.5</v>
      </c>
      <c r="F32" s="44">
        <f t="shared" si="1"/>
        <v>280</v>
      </c>
      <c r="G32" s="46">
        <f t="shared" si="1"/>
        <v>0</v>
      </c>
    </row>
    <row r="33" spans="1:7" ht="15" customHeight="1">
      <c r="A33" s="43" t="str">
        <f t="shared" si="0"/>
        <v>Tab 7</v>
      </c>
      <c r="B33" s="44">
        <f t="shared" si="2"/>
        <v>0</v>
      </c>
      <c r="C33" s="44">
        <f t="shared" si="2"/>
        <v>55</v>
      </c>
      <c r="D33" s="44">
        <f t="shared" si="1"/>
        <v>80</v>
      </c>
      <c r="E33" s="44">
        <f t="shared" si="1"/>
        <v>55</v>
      </c>
      <c r="F33" s="44">
        <f t="shared" si="1"/>
        <v>52.5</v>
      </c>
      <c r="G33" s="46">
        <f t="shared" si="1"/>
        <v>0</v>
      </c>
    </row>
    <row r="34" spans="1:7" ht="15" customHeight="1">
      <c r="A34" s="43" t="str">
        <f t="shared" si="0"/>
        <v>Tab 8</v>
      </c>
      <c r="B34" s="44">
        <f t="shared" si="2"/>
        <v>27.5</v>
      </c>
      <c r="C34" s="44">
        <f t="shared" si="2"/>
        <v>52.5</v>
      </c>
      <c r="D34" s="44">
        <f t="shared" si="1"/>
        <v>90</v>
      </c>
      <c r="E34" s="44">
        <f t="shared" si="1"/>
        <v>85</v>
      </c>
      <c r="F34" s="44">
        <f t="shared" si="1"/>
        <v>27.5</v>
      </c>
      <c r="G34" s="46">
        <f t="shared" si="1"/>
        <v>0</v>
      </c>
    </row>
    <row r="35" spans="1:7" ht="15" customHeight="1">
      <c r="A35" s="43" t="str">
        <f t="shared" si="0"/>
        <v>Tab 9</v>
      </c>
      <c r="B35" s="44">
        <f t="shared" si="2"/>
        <v>47.5</v>
      </c>
      <c r="C35" s="44">
        <f t="shared" si="2"/>
        <v>47.5</v>
      </c>
      <c r="D35" s="44">
        <f t="shared" si="1"/>
        <v>42.5</v>
      </c>
      <c r="E35" s="44">
        <f t="shared" si="1"/>
        <v>47.5</v>
      </c>
      <c r="F35" s="44">
        <f t="shared" si="1"/>
        <v>27.5</v>
      </c>
      <c r="G35" s="46">
        <f t="shared" si="1"/>
        <v>0</v>
      </c>
    </row>
    <row r="36" spans="1:7" ht="15" customHeight="1">
      <c r="A36" s="43" t="str">
        <f t="shared" si="0"/>
        <v>Tab 10</v>
      </c>
      <c r="B36" s="44">
        <f t="shared" si="2"/>
        <v>0</v>
      </c>
      <c r="C36" s="44">
        <f t="shared" si="2"/>
        <v>85</v>
      </c>
      <c r="D36" s="44">
        <f t="shared" si="1"/>
        <v>57.5</v>
      </c>
      <c r="E36" s="44">
        <f t="shared" si="1"/>
        <v>45</v>
      </c>
      <c r="F36" s="44">
        <f t="shared" si="1"/>
        <v>52.5</v>
      </c>
      <c r="G36" s="46">
        <f t="shared" si="1"/>
        <v>0</v>
      </c>
    </row>
    <row r="37" spans="1:7" ht="15" customHeight="1">
      <c r="A37" s="43" t="str">
        <f t="shared" si="0"/>
        <v>Tab 11</v>
      </c>
      <c r="B37" s="44">
        <f t="shared" si="2"/>
        <v>50</v>
      </c>
      <c r="C37" s="44">
        <f t="shared" si="2"/>
        <v>50</v>
      </c>
      <c r="D37" s="44">
        <f t="shared" si="1"/>
        <v>0</v>
      </c>
      <c r="E37" s="44">
        <f t="shared" si="1"/>
        <v>50</v>
      </c>
      <c r="F37" s="44">
        <f t="shared" si="1"/>
        <v>55</v>
      </c>
      <c r="G37" s="46">
        <f t="shared" si="1"/>
        <v>0</v>
      </c>
    </row>
    <row r="38" spans="1:7" ht="15" customHeight="1" thickBot="1">
      <c r="A38" s="47" t="str">
        <f t="shared" si="0"/>
        <v>Tab 12</v>
      </c>
      <c r="B38" s="48">
        <f t="shared" si="2"/>
        <v>52.5</v>
      </c>
      <c r="C38" s="49">
        <f t="shared" si="2"/>
        <v>52.5</v>
      </c>
      <c r="D38" s="49">
        <f t="shared" si="1"/>
        <v>52.5</v>
      </c>
      <c r="E38" s="49">
        <f t="shared" si="1"/>
        <v>52.5</v>
      </c>
      <c r="F38" s="49">
        <f t="shared" si="1"/>
        <v>0</v>
      </c>
      <c r="G38" s="50">
        <f t="shared" si="1"/>
        <v>0</v>
      </c>
    </row>
    <row r="39" spans="1:7" ht="15" customHeight="1" thickBot="1">
      <c r="A39" s="44"/>
      <c r="B39" s="44"/>
      <c r="C39" s="44"/>
      <c r="D39" s="44"/>
      <c r="E39" s="44"/>
      <c r="F39" s="44"/>
      <c r="G39" s="44"/>
    </row>
    <row r="40" spans="1:7" ht="15" customHeight="1">
      <c r="A40" s="51" t="s">
        <v>24</v>
      </c>
      <c r="B40" s="52">
        <f t="shared" ref="B40:G40" si="3">MIN(B$27:B$38)</f>
        <v>0</v>
      </c>
      <c r="C40" s="53">
        <f t="shared" si="3"/>
        <v>35</v>
      </c>
      <c r="D40" s="53">
        <f t="shared" si="3"/>
        <v>0</v>
      </c>
      <c r="E40" s="53">
        <f t="shared" si="3"/>
        <v>35</v>
      </c>
      <c r="F40" s="53">
        <f t="shared" si="3"/>
        <v>0</v>
      </c>
      <c r="G40" s="54">
        <f t="shared" si="3"/>
        <v>0</v>
      </c>
    </row>
    <row r="41" spans="1:7" ht="15" customHeight="1">
      <c r="A41" s="55" t="s">
        <v>25</v>
      </c>
      <c r="B41" s="56">
        <f t="shared" ref="B41:G41" si="4">MAX(B$27:B$38)</f>
        <v>83.333333333333329</v>
      </c>
      <c r="C41" s="57">
        <f t="shared" si="4"/>
        <v>85</v>
      </c>
      <c r="D41" s="57">
        <f t="shared" si="4"/>
        <v>112.5</v>
      </c>
      <c r="E41" s="57">
        <f t="shared" si="4"/>
        <v>113.33333333333333</v>
      </c>
      <c r="F41" s="57">
        <f t="shared" si="4"/>
        <v>280</v>
      </c>
      <c r="G41" s="58">
        <f t="shared" si="4"/>
        <v>0</v>
      </c>
    </row>
    <row r="42" spans="1:7" ht="15" customHeight="1" thickBot="1">
      <c r="A42" s="59" t="s">
        <v>26</v>
      </c>
      <c r="B42" s="60">
        <f t="shared" ref="B42:G42" si="5">AVERAGE(B$27:B$38)</f>
        <v>34.236111111111107</v>
      </c>
      <c r="C42" s="61">
        <f t="shared" si="5"/>
        <v>56.666666666666664</v>
      </c>
      <c r="D42" s="61">
        <f t="shared" si="5"/>
        <v>68.541666666666671</v>
      </c>
      <c r="E42" s="61">
        <f t="shared" si="5"/>
        <v>60.277777777777771</v>
      </c>
      <c r="F42" s="61">
        <f t="shared" si="5"/>
        <v>73.541666666666671</v>
      </c>
      <c r="G42" s="62">
        <f t="shared" si="5"/>
        <v>0</v>
      </c>
    </row>
    <row r="44" spans="1:7" ht="15" customHeight="1">
      <c r="A44" s="71" t="s">
        <v>27</v>
      </c>
      <c r="B44" s="72"/>
      <c r="C44" s="72"/>
      <c r="D44" s="72"/>
      <c r="E44" s="72"/>
      <c r="F44" s="72"/>
    </row>
    <row r="45" spans="1:7" ht="15" customHeight="1">
      <c r="A45" s="71" t="s">
        <v>27</v>
      </c>
      <c r="B45" s="72"/>
      <c r="C45" s="72"/>
      <c r="D45" s="72"/>
      <c r="E45" s="72"/>
      <c r="F45" s="72"/>
    </row>
    <row r="46" spans="1:7" ht="15" customHeight="1">
      <c r="A46" s="71" t="s">
        <v>27</v>
      </c>
      <c r="B46" s="72"/>
      <c r="C46" s="72"/>
      <c r="D46" s="72"/>
      <c r="E46" s="72"/>
      <c r="F46" s="72"/>
    </row>
    <row r="47" spans="1:7" ht="15" customHeight="1">
      <c r="A47" s="71" t="s">
        <v>27</v>
      </c>
      <c r="B47" s="72"/>
      <c r="C47" s="72"/>
      <c r="D47" s="72"/>
      <c r="E47" s="72"/>
      <c r="F47" s="72"/>
    </row>
    <row r="48" spans="1:7" ht="15" customHeight="1">
      <c r="A48" s="71" t="s">
        <v>27</v>
      </c>
      <c r="B48" s="72"/>
      <c r="C48" s="72"/>
      <c r="D48" s="72"/>
      <c r="E48" s="72"/>
      <c r="F48" s="72"/>
    </row>
    <row r="49" spans="1:6" ht="15" customHeight="1">
      <c r="A49" s="71" t="s">
        <v>27</v>
      </c>
      <c r="B49" s="72"/>
      <c r="C49" s="72"/>
      <c r="D49" s="72"/>
      <c r="E49" s="72"/>
      <c r="F49" s="72"/>
    </row>
  </sheetData>
  <mergeCells count="3">
    <mergeCell ref="A1:G1"/>
    <mergeCell ref="B8:G8"/>
    <mergeCell ref="B24:G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 Inputs and Trends</vt:lpstr>
      <vt:lpstr>Cell Level</vt:lpstr>
      <vt:lpstr>Range1</vt:lpstr>
      <vt:lpstr>Range2</vt:lpstr>
    </vt:vector>
  </TitlesOfParts>
  <Company>PPD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Tkelly</dc:creator>
  <cp:lastModifiedBy>Viral Shah</cp:lastModifiedBy>
  <cp:lastPrinted>2009-11-06T15:57:07Z</cp:lastPrinted>
  <dcterms:created xsi:type="dcterms:W3CDTF">2003-09-22T21:48:46Z</dcterms:created>
  <dcterms:modified xsi:type="dcterms:W3CDTF">2019-07-25T05:41:09Z</dcterms:modified>
</cp:coreProperties>
</file>